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python\"/>
    </mc:Choice>
  </mc:AlternateContent>
  <xr:revisionPtr revIDLastSave="0" documentId="13_ncr:1_{C1532680-F602-4D1E-B6F8-36DE168EB7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nthly Maintenance" sheetId="1" r:id="rId1"/>
  </sheets>
  <definedNames>
    <definedName name="_xlnm._FilterDatabase" localSheetId="0" hidden="1">'Monthly Maintenance'!$A$1:$F$21</definedName>
    <definedName name="_xlnm.Print_Titles" localSheetId="0">'Monthly Maintenance'!$1:$1</definedName>
  </definedNames>
  <calcPr calcId="191029"/>
</workbook>
</file>

<file path=xl/calcChain.xml><?xml version="1.0" encoding="utf-8"?>
<calcChain xmlns="http://schemas.openxmlformats.org/spreadsheetml/2006/main">
  <c r="D23" i="1" l="1"/>
  <c r="B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<sst xmlns="http://schemas.openxmlformats.org/spreadsheetml/2006/main" count="28" uniqueCount="28">
  <si>
    <t>Apartment No.</t>
  </si>
  <si>
    <t>Monthly Contribution (INR)</t>
  </si>
  <si>
    <t>Payment Date</t>
  </si>
  <si>
    <t>UPI UTR Number (Sample)</t>
  </si>
  <si>
    <t>Amount Paid (INR)</t>
  </si>
  <si>
    <t>Status</t>
  </si>
  <si>
    <t>223657666151</t>
  </si>
  <si>
    <t>999480807760</t>
  </si>
  <si>
    <t>935245395596</t>
  </si>
  <si>
    <t>489291848044</t>
  </si>
  <si>
    <t>439212716710</t>
  </si>
  <si>
    <t>732698528621</t>
  </si>
  <si>
    <t>577536880257</t>
  </si>
  <si>
    <t>449354730973</t>
  </si>
  <si>
    <t>996375572405</t>
  </si>
  <si>
    <t>238118856383</t>
  </si>
  <si>
    <t>830509412037</t>
  </si>
  <si>
    <t>810656134505</t>
  </si>
  <si>
    <t>151910358601</t>
  </si>
  <si>
    <t>580359683884</t>
  </si>
  <si>
    <t>276687620746</t>
  </si>
  <si>
    <t>982261613683</t>
  </si>
  <si>
    <t>931619869012</t>
  </si>
  <si>
    <t>937714792741</t>
  </si>
  <si>
    <t>368635245492</t>
  </si>
  <si>
    <t>484084627982</t>
  </si>
  <si>
    <t>Expected Total</t>
  </si>
  <si>
    <t>Collected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</si>
</sst>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87C72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49" fontId="0" fillId="4" borderId="1" xfId="0" applyNumberFormat="1" applyFill="1" applyBorder="1" applyAlignment="1">
      <alignment vertical="center"/>
    </xf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"/>
  <sheetViews>
    <sheetView showGridLines="0" tabSelected="1" workbookViewId="0">
      <pane ySplit="1" topLeftCell="A2" activePane="bottomLeft" state="frozen"/>
      <selection pane="bottomLeft" activeCell="F22" sqref="F22"/>
    </sheetView>
  </sheetViews>
  <sheetFormatPr defaultRowHeight="14.4" x14ac:dyDescent="0.3"/>
  <cols>
    <col min="1" max="1" width="16" customWidth="1"/>
    <col min="2" max="2" width="25" customWidth="1"/>
    <col min="3" max="3" width="18" customWidth="1"/>
    <col min="4" max="4" width="34" customWidth="1"/>
    <col min="5" max="5" width="21" customWidth="1"/>
    <col min="6" max="6" width="14" customWidth="1"/>
  </cols>
  <sheetData>
    <row r="1" spans="1: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101</v>
      </c>
      <c r="B2" s="3">
        <v>1000</v>
      </c>
      <c r="C2" s="4">
        <v>46296</v>
      </c>
      <c r="D2" s="5" t="s">
        <v>6</v>
      </c>
      <c r="E2" s="3">
        <v>1000</v>
      </c>
      <c r="F2" s="2" t="str">
        <f t="shared" ref="F2:F21" si="0">IF(E2&gt;=B2,"Paid",IF(E2&gt;0,"Partial","Unpaid"))</f>
        <v>Paid</v>
      </c>
    </row>
    <row r="3" spans="1:6" x14ac:dyDescent="0.3">
      <c r="A3" s="6">
        <v>102</v>
      </c>
      <c r="B3" s="7">
        <v>1000</v>
      </c>
      <c r="C3" s="4">
        <v>46297</v>
      </c>
      <c r="D3" s="8" t="s">
        <v>7</v>
      </c>
      <c r="E3" s="3">
        <v>1000</v>
      </c>
      <c r="F3" s="6" t="str">
        <f t="shared" si="0"/>
        <v>Paid</v>
      </c>
    </row>
    <row r="4" spans="1:6" x14ac:dyDescent="0.3">
      <c r="A4" s="2">
        <v>103</v>
      </c>
      <c r="B4" s="3">
        <v>1000</v>
      </c>
      <c r="C4" s="4">
        <v>46298</v>
      </c>
      <c r="D4" s="5" t="s">
        <v>8</v>
      </c>
      <c r="E4" s="3">
        <v>1000</v>
      </c>
      <c r="F4" s="2" t="str">
        <f t="shared" si="0"/>
        <v>Paid</v>
      </c>
    </row>
    <row r="5" spans="1:6" x14ac:dyDescent="0.3">
      <c r="A5" s="6">
        <v>104</v>
      </c>
      <c r="B5" s="7">
        <v>1000</v>
      </c>
      <c r="C5" s="4">
        <v>46299</v>
      </c>
      <c r="D5" s="8" t="s">
        <v>9</v>
      </c>
      <c r="E5" s="3">
        <v>1000</v>
      </c>
      <c r="F5" s="6" t="str">
        <f t="shared" si="0"/>
        <v>Paid</v>
      </c>
    </row>
    <row r="6" spans="1:6" x14ac:dyDescent="0.3">
      <c r="A6" s="2">
        <v>201</v>
      </c>
      <c r="B6" s="3">
        <v>1000</v>
      </c>
      <c r="C6" s="4">
        <v>46300</v>
      </c>
      <c r="D6" s="5" t="s">
        <v>10</v>
      </c>
      <c r="E6" s="3">
        <v>1000</v>
      </c>
      <c r="F6" s="2" t="str">
        <f t="shared" si="0"/>
        <v>Paid</v>
      </c>
    </row>
    <row r="7" spans="1:6" x14ac:dyDescent="0.3">
      <c r="A7" s="6">
        <v>202</v>
      </c>
      <c r="B7" s="7">
        <v>1000</v>
      </c>
      <c r="C7" s="4">
        <v>46301</v>
      </c>
      <c r="D7" s="8" t="s">
        <v>11</v>
      </c>
      <c r="E7" s="3">
        <v>1000</v>
      </c>
      <c r="F7" s="6" t="str">
        <f t="shared" si="0"/>
        <v>Paid</v>
      </c>
    </row>
    <row r="8" spans="1:6" x14ac:dyDescent="0.3">
      <c r="A8" s="2">
        <v>203</v>
      </c>
      <c r="B8" s="3">
        <v>1000</v>
      </c>
      <c r="C8" s="4">
        <v>46302</v>
      </c>
      <c r="D8" s="5" t="s">
        <v>12</v>
      </c>
      <c r="E8" s="3">
        <v>1000</v>
      </c>
      <c r="F8" s="2" t="str">
        <f t="shared" si="0"/>
        <v>Paid</v>
      </c>
    </row>
    <row r="9" spans="1:6" x14ac:dyDescent="0.3">
      <c r="A9" s="6">
        <v>204</v>
      </c>
      <c r="B9" s="7">
        <v>1000</v>
      </c>
      <c r="C9" s="4">
        <v>46303</v>
      </c>
      <c r="D9" s="8" t="s">
        <v>13</v>
      </c>
      <c r="E9" s="3">
        <v>1000</v>
      </c>
      <c r="F9" s="6" t="str">
        <f t="shared" si="0"/>
        <v>Paid</v>
      </c>
    </row>
    <row r="10" spans="1:6" x14ac:dyDescent="0.3">
      <c r="A10" s="2">
        <v>301</v>
      </c>
      <c r="B10" s="3">
        <v>1000</v>
      </c>
      <c r="C10" s="4">
        <v>46304</v>
      </c>
      <c r="D10" s="5" t="s">
        <v>14</v>
      </c>
      <c r="E10" s="3"/>
      <c r="F10" s="2" t="str">
        <f t="shared" si="0"/>
        <v>Unpaid</v>
      </c>
    </row>
    <row r="11" spans="1:6" x14ac:dyDescent="0.3">
      <c r="A11" s="6">
        <v>302</v>
      </c>
      <c r="B11" s="7">
        <v>1000</v>
      </c>
      <c r="C11" s="4">
        <v>46305</v>
      </c>
      <c r="D11" s="8" t="s">
        <v>15</v>
      </c>
      <c r="E11" s="7"/>
      <c r="F11" s="6" t="str">
        <f t="shared" si="0"/>
        <v>Unpaid</v>
      </c>
    </row>
    <row r="12" spans="1:6" x14ac:dyDescent="0.3">
      <c r="A12" s="2">
        <v>303</v>
      </c>
      <c r="B12" s="3">
        <v>1000</v>
      </c>
      <c r="C12" s="4">
        <v>46306</v>
      </c>
      <c r="D12" s="5" t="s">
        <v>16</v>
      </c>
      <c r="E12" s="3"/>
      <c r="F12" s="2" t="str">
        <f t="shared" si="0"/>
        <v>Unpaid</v>
      </c>
    </row>
    <row r="13" spans="1:6" x14ac:dyDescent="0.3">
      <c r="A13" s="6">
        <v>304</v>
      </c>
      <c r="B13" s="7">
        <v>1000</v>
      </c>
      <c r="C13" s="4">
        <v>46307</v>
      </c>
      <c r="D13" s="8" t="s">
        <v>17</v>
      </c>
      <c r="E13" s="7"/>
      <c r="F13" s="6" t="str">
        <f t="shared" si="0"/>
        <v>Unpaid</v>
      </c>
    </row>
    <row r="14" spans="1:6" x14ac:dyDescent="0.3">
      <c r="A14" s="2">
        <v>401</v>
      </c>
      <c r="B14" s="3">
        <v>1000</v>
      </c>
      <c r="C14" s="4">
        <v>46308</v>
      </c>
      <c r="D14" s="5" t="s">
        <v>18</v>
      </c>
      <c r="E14" s="3">
        <v>1000</v>
      </c>
      <c r="F14" s="2" t="str">
        <f t="shared" si="0"/>
        <v>Paid</v>
      </c>
    </row>
    <row r="15" spans="1:6" x14ac:dyDescent="0.3">
      <c r="A15" s="6">
        <v>402</v>
      </c>
      <c r="B15" s="7">
        <v>1000</v>
      </c>
      <c r="C15" s="4">
        <v>46309</v>
      </c>
      <c r="D15" s="8" t="s">
        <v>19</v>
      </c>
      <c r="E15" s="7"/>
      <c r="F15" s="6" t="str">
        <f t="shared" si="0"/>
        <v>Unpaid</v>
      </c>
    </row>
    <row r="16" spans="1:6" x14ac:dyDescent="0.3">
      <c r="A16" s="2">
        <v>403</v>
      </c>
      <c r="B16" s="3">
        <v>1000</v>
      </c>
      <c r="C16" s="4">
        <v>46310</v>
      </c>
      <c r="D16" s="5" t="s">
        <v>20</v>
      </c>
      <c r="E16" s="3"/>
      <c r="F16" s="2" t="str">
        <f t="shared" si="0"/>
        <v>Unpaid</v>
      </c>
    </row>
    <row r="17" spans="1:6" x14ac:dyDescent="0.3">
      <c r="A17" s="6">
        <v>404</v>
      </c>
      <c r="B17" s="7">
        <v>1000</v>
      </c>
      <c r="C17" s="4">
        <v>46311</v>
      </c>
      <c r="D17" s="8" t="s">
        <v>21</v>
      </c>
      <c r="E17" s="7">
        <v>1000</v>
      </c>
      <c r="F17" s="6" t="str">
        <f t="shared" si="0"/>
        <v>Paid</v>
      </c>
    </row>
    <row r="18" spans="1:6" x14ac:dyDescent="0.3">
      <c r="A18" s="2">
        <v>501</v>
      </c>
      <c r="B18" s="3">
        <v>1000</v>
      </c>
      <c r="C18" s="4">
        <v>46312</v>
      </c>
      <c r="D18" s="5" t="s">
        <v>22</v>
      </c>
      <c r="E18" s="3"/>
      <c r="F18" s="2" t="str">
        <f t="shared" si="0"/>
        <v>Unpaid</v>
      </c>
    </row>
    <row r="19" spans="1:6" x14ac:dyDescent="0.3">
      <c r="A19" s="6">
        <v>502</v>
      </c>
      <c r="B19" s="7">
        <v>1000</v>
      </c>
      <c r="C19" s="4">
        <v>46313</v>
      </c>
      <c r="D19" s="8" t="s">
        <v>23</v>
      </c>
      <c r="E19" s="7"/>
      <c r="F19" s="6" t="str">
        <f t="shared" si="0"/>
        <v>Unpaid</v>
      </c>
    </row>
    <row r="20" spans="1:6" x14ac:dyDescent="0.3">
      <c r="A20" s="2">
        <v>503</v>
      </c>
      <c r="B20" s="3">
        <v>1000</v>
      </c>
      <c r="C20" s="4">
        <v>46314</v>
      </c>
      <c r="D20" s="5" t="s">
        <v>24</v>
      </c>
      <c r="E20" s="3"/>
      <c r="F20" s="2" t="str">
        <f t="shared" si="0"/>
        <v>Unpaid</v>
      </c>
    </row>
    <row r="21" spans="1:6" x14ac:dyDescent="0.3">
      <c r="A21" s="6">
        <v>504</v>
      </c>
      <c r="B21" s="7">
        <v>1000</v>
      </c>
      <c r="C21" s="4">
        <v>46315</v>
      </c>
      <c r="D21" s="8" t="s">
        <v>25</v>
      </c>
      <c r="E21" s="7">
        <v>1000</v>
      </c>
      <c r="F21" s="6" t="str">
        <f t="shared" si="0"/>
        <v>Paid</v>
      </c>
    </row>
    <row r="23" spans="1:6" x14ac:dyDescent="0.3">
      <c r="A23" s="9" t="s">
        <v>26</v>
      </c>
      <c r="B23" s="10">
        <f>SUM(B2:B21)</f>
        <v>20000</v>
      </c>
      <c r="C23" s="9" t="s">
        <v>27</v>
      </c>
      <c r="D23" s="10">
        <f>SUM(E2:E21)</f>
        <v>11000</v>
      </c>
    </row>
  </sheetData>
  <autoFilter ref="A1:F21" xr:uid="{00000000-0009-0000-0000-000000000000}"/>
  <dataValidations count="2">
    <dataValidation type="date" allowBlank="1" error="Enter a valid payment date." sqref="C2:C21" xr:uid="{00000000-0002-0000-0000-000000000000}">
      <formula1>DATE(2000,1,1)</formula1>
      <formula2>DATE(2100,12,31)</formula2>
    </dataValidation>
    <dataValidation type="decimal" allowBlank="1" error="Enter an amount from 0 to 1000." sqref="E2:E21" xr:uid="{00000000-0002-0000-0000-000001000000}">
      <formula1>0</formula1>
      <formula2>1000</formula2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Maintenance</vt:lpstr>
      <vt:lpstr>'Monthly Maintenance'!Print_Titles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Kota Ram Mohan</cp:lastModifiedBy>
  <dcterms:created xsi:type="dcterms:W3CDTF">2026-10-17T04:20:04Z</dcterms:created>
  <dcterms:modified xsi:type="dcterms:W3CDTF">2026-10-17T04:30:24Z</dcterms:modified>
</cp:coreProperties>
</file>